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Jan Boček\Desktop\Bakalářská práce\EXPERIMENTÁLNÍ_ČÁST\experiment_1\"/>
    </mc:Choice>
  </mc:AlternateContent>
  <xr:revisionPtr revIDLastSave="0" documentId="13_ncr:1_{732BF64C-89E3-4751-B52E-61D52F9FD9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ěření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" i="2" l="1"/>
  <c r="H17" i="2"/>
  <c r="L17" i="2"/>
  <c r="M17" i="2"/>
  <c r="M31" i="2"/>
  <c r="L31" i="2"/>
  <c r="K31" i="2"/>
  <c r="J31" i="2"/>
  <c r="I31" i="2"/>
  <c r="H31" i="2"/>
  <c r="J17" i="2"/>
  <c r="I17" i="2"/>
  <c r="S36" i="2"/>
  <c r="R36" i="2"/>
  <c r="Q36" i="2"/>
  <c r="W22" i="2"/>
  <c r="V22" i="2"/>
  <c r="S22" i="2"/>
  <c r="R22" i="2"/>
  <c r="Q22" i="2"/>
  <c r="H10" i="2"/>
  <c r="G31" i="2"/>
  <c r="G32" i="2"/>
  <c r="G18" i="2"/>
  <c r="C21" i="2"/>
  <c r="N11" i="2"/>
  <c r="M11" i="2"/>
  <c r="L11" i="2"/>
  <c r="N10" i="2"/>
  <c r="M10" i="2"/>
  <c r="L10" i="2"/>
  <c r="I11" i="2"/>
  <c r="H11" i="2"/>
  <c r="G11" i="2"/>
  <c r="I10" i="2"/>
</calcChain>
</file>

<file path=xl/sharedStrings.xml><?xml version="1.0" encoding="utf-8"?>
<sst xmlns="http://schemas.openxmlformats.org/spreadsheetml/2006/main" count="180" uniqueCount="89">
  <si>
    <t>Parametry</t>
  </si>
  <si>
    <t>Vzorek A (měrka - xx mm)</t>
  </si>
  <si>
    <t>Vzorek B (měrka - xx mm)</t>
  </si>
  <si>
    <t>Záznam</t>
  </si>
  <si>
    <t>Parametr</t>
  </si>
  <si>
    <t>Jednotka</t>
  </si>
  <si>
    <t>Č. měření</t>
  </si>
  <si>
    <t>Rozměr A1 [mm]</t>
  </si>
  <si>
    <t>Rozměr A2 [mm]</t>
  </si>
  <si>
    <t>Rozměr A3 [mm]</t>
  </si>
  <si>
    <t>Rozměr B1 [mm]</t>
  </si>
  <si>
    <t>Rozměr B2 [mm]</t>
  </si>
  <si>
    <t>Rozměr B3 [mm]</t>
  </si>
  <si>
    <t>Datum měření</t>
  </si>
  <si>
    <t>[-]</t>
  </si>
  <si>
    <t>Teplota v místnosti</t>
  </si>
  <si>
    <r>
      <rPr>
        <sz val="11"/>
        <color theme="1"/>
        <rFont val="Aptos Narrow"/>
        <family val="2"/>
      </rPr>
      <t>[º</t>
    </r>
    <r>
      <rPr>
        <sz val="12.65"/>
        <color theme="1"/>
        <rFont val="Calibri"/>
        <family val="2"/>
      </rPr>
      <t>C</t>
    </r>
    <r>
      <rPr>
        <sz val="11"/>
        <color theme="1"/>
        <rFont val="Calibri"/>
        <family val="2"/>
      </rPr>
      <t>]</t>
    </r>
  </si>
  <si>
    <t>Osvětlení</t>
  </si>
  <si>
    <t>ok</t>
  </si>
  <si>
    <t>Vzorek (měrka)</t>
  </si>
  <si>
    <t>Rozměry [mm]</t>
  </si>
  <si>
    <t>A</t>
  </si>
  <si>
    <t>Průměr</t>
  </si>
  <si>
    <t>B</t>
  </si>
  <si>
    <t>σ</t>
  </si>
  <si>
    <t>C</t>
  </si>
  <si>
    <t>Diskrétní metoda - konfigurace</t>
  </si>
  <si>
    <t>Tabulka 1 - Naměřené hodnoty (diskrétní metoda)</t>
  </si>
  <si>
    <t>Vzorek</t>
  </si>
  <si>
    <t>Ref. [mm]</t>
  </si>
  <si>
    <t>Měření 1 [mm]</t>
  </si>
  <si>
    <t>Měření 2 [mm]</t>
  </si>
  <si>
    <t>Měření 3 [mm]</t>
  </si>
  <si>
    <t>Průměr [mm]</t>
  </si>
  <si>
    <r>
      <rPr>
        <sz val="11"/>
        <color theme="1"/>
        <rFont val="Aptos Narrow"/>
        <family val="2"/>
      </rPr>
      <t>σ</t>
    </r>
    <r>
      <rPr>
        <sz val="11"/>
        <color theme="1"/>
        <rFont val="Calibri"/>
        <family val="2"/>
      </rPr>
      <t xml:space="preserve"> [mm]</t>
    </r>
  </si>
  <si>
    <t>Odchylka [mm]</t>
  </si>
  <si>
    <t>Úhlový krok</t>
  </si>
  <si>
    <r>
      <t>[</t>
    </r>
    <r>
      <rPr>
        <sz val="11"/>
        <color theme="1"/>
        <rFont val="Aptos Narrow"/>
        <family val="2"/>
      </rPr>
      <t>º</t>
    </r>
    <r>
      <rPr>
        <sz val="11"/>
        <color theme="1"/>
        <rFont val="Calibri"/>
        <family val="2"/>
        <scheme val="minor"/>
      </rPr>
      <t>]</t>
    </r>
  </si>
  <si>
    <t>Rozlišení</t>
  </si>
  <si>
    <t>Expozice</t>
  </si>
  <si>
    <r>
      <t>[</t>
    </r>
    <r>
      <rPr>
        <sz val="11"/>
        <color theme="1"/>
        <rFont val="Aptos Narrow"/>
        <family val="2"/>
      </rPr>
      <t>µ</t>
    </r>
    <r>
      <rPr>
        <sz val="12.65"/>
        <color theme="1"/>
        <rFont val="Calibri"/>
        <family val="2"/>
      </rPr>
      <t>s</t>
    </r>
    <r>
      <rPr>
        <sz val="11"/>
        <color theme="1"/>
        <rFont val="Calibri"/>
        <family val="2"/>
        <scheme val="minor"/>
      </rPr>
      <t>]</t>
    </r>
  </si>
  <si>
    <t>Čas ustálení</t>
  </si>
  <si>
    <t>[s]</t>
  </si>
  <si>
    <t>Počet profilů</t>
  </si>
  <si>
    <t>Vzorek A</t>
  </si>
  <si>
    <t>Vzorek B</t>
  </si>
  <si>
    <t>Celkový čas</t>
  </si>
  <si>
    <t>Soubor</t>
  </si>
  <si>
    <t>Max. rychlost</t>
  </si>
  <si>
    <t>[krok/s]</t>
  </si>
  <si>
    <t>Měření 1</t>
  </si>
  <si>
    <t>Zrychlení</t>
  </si>
  <si>
    <t>[krok/s^2]</t>
  </si>
  <si>
    <t>Měření 2</t>
  </si>
  <si>
    <t>Měření 3</t>
  </si>
  <si>
    <t>Kontinuální metoda - konfigurace</t>
  </si>
  <si>
    <t>Tabulka 2 - Naměřené hodnoty (kontinuální metoda)</t>
  </si>
  <si>
    <t>Frekvence</t>
  </si>
  <si>
    <t>[Hz]</t>
  </si>
  <si>
    <t>Počet zahř. Kol</t>
  </si>
  <si>
    <t>Měření 4</t>
  </si>
  <si>
    <t>Měření 5</t>
  </si>
  <si>
    <t>Celkový čas [s]</t>
  </si>
  <si>
    <t>2048-&gt; cca900</t>
  </si>
  <si>
    <t>Úhlové rozlišení</t>
  </si>
  <si>
    <r>
      <t>[</t>
    </r>
    <r>
      <rPr>
        <sz val="11"/>
        <color theme="1"/>
        <rFont val="Aptos Narrow"/>
        <family val="2"/>
      </rPr>
      <t>°/s</t>
    </r>
    <r>
      <rPr>
        <sz val="11"/>
        <color theme="1"/>
        <rFont val="Calibri"/>
        <family val="2"/>
        <scheme val="minor"/>
      </rPr>
      <t>]</t>
    </r>
  </si>
  <si>
    <t>30_04_26_scan_01_vzorek_A_diskretni</t>
  </si>
  <si>
    <t>30_04_26_scan_02_vzorek_A_diskretni</t>
  </si>
  <si>
    <t>30_04_26_scan_03_vzorek_A_diskretni</t>
  </si>
  <si>
    <t>30_04_26_scan_04_vzorek_A_diskretni</t>
  </si>
  <si>
    <t>30_04_26_scan_05_vzorek_A_diskretni</t>
  </si>
  <si>
    <t>30_04_26_scan_01_vzorek_B_diskretni</t>
  </si>
  <si>
    <t>30_04_26_scan_02_vzorek_B_diskretni</t>
  </si>
  <si>
    <t>30_04_26_scan_03_vzorek_B_diskretni</t>
  </si>
  <si>
    <t>30_04_26_scan_04_vzorek_B_diskretni</t>
  </si>
  <si>
    <t>30_04_26_scan_05_vzorek_B_diskretni</t>
  </si>
  <si>
    <t>CloudCompare</t>
  </si>
  <si>
    <t>Vzorek A - kontinuální metoda</t>
  </si>
  <si>
    <t>Vzorek A - diskrétní metoda</t>
  </si>
  <si>
    <t>30_04_26_scan_01_vzorek_A_kontinualni</t>
  </si>
  <si>
    <t>30_04_26_scan_02_vzorek_A_kontinualni</t>
  </si>
  <si>
    <t>30_04_26_scan_03_vzorek_A_kontinualni</t>
  </si>
  <si>
    <t>30_04_26_scan_04_vzorek_A_kontinualni</t>
  </si>
  <si>
    <t>30_04_26_scan_05_vzorek_A_kontinualni</t>
  </si>
  <si>
    <t>30_04_26_scan_01_vzorek_B_kontinualni</t>
  </si>
  <si>
    <t>30_04_26_scan_02_vzorek_B_kontinualni</t>
  </si>
  <si>
    <t>30_04_26_scan_03_vzorek_B_kontinualni</t>
  </si>
  <si>
    <t>30_04_26_scan_04_vzorek_B_kontinualni</t>
  </si>
  <si>
    <t>30_04_26_scan_05_vzorek_B_kontinualni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</si>
</sst>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12.65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ální" xfId="0" builtinId="0"/>
  </cellStyles>
  <dxfs count="89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B49903-9947-4E0A-BEA7-326EF8B5DDEC}" name="Tabulka1" displayName="Tabulka1" ref="F4:I11" totalsRowShown="0" headerRowDxfId="88" dataDxfId="87">
  <autoFilter ref="F4:I11" xr:uid="{ABB49903-9947-4E0A-BEA7-326EF8B5DDEC}"/>
  <tableColumns count="4">
    <tableColumn id="1" xr3:uid="{30239574-8EE3-4EEE-ADC5-9019CC460EE0}" name="Č. měření" dataDxfId="86"/>
    <tableColumn id="2" xr3:uid="{4D5B8502-A6CB-4C76-B144-1971CC03D43A}" name="Rozměr A1 [mm]" dataDxfId="85"/>
    <tableColumn id="3" xr3:uid="{29C3A789-C2CA-4679-A805-7D0B7A634ED4}" name="Rozměr A2 [mm]" dataDxfId="84"/>
    <tableColumn id="4" xr3:uid="{989E176D-560D-454D-9336-5B66E8E851E6}" name="Rozměr A3 [mm]" dataDxfId="8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F77CE2C-9FAB-4F98-B7F6-86F8547BEF88}" name="Tabulka112" displayName="Tabulka112" ref="K4:N11" totalsRowShown="0" headerRowDxfId="82" dataDxfId="81">
  <autoFilter ref="K4:N11" xr:uid="{4F77CE2C-9FAB-4F98-B7F6-86F8547BEF88}"/>
  <tableColumns count="4">
    <tableColumn id="1" xr3:uid="{5495ECDD-6ADD-4BF1-B8D2-166759952272}" name="Č. měření" dataDxfId="80"/>
    <tableColumn id="2" xr3:uid="{CFED0014-D4C9-404E-AC78-8E797E664A7E}" name="Rozměr B1 [mm]" dataDxfId="79"/>
    <tableColumn id="3" xr3:uid="{67383FC1-81BF-4AD5-97FF-37CB87DBCEC2}" name="Rozměr B2 [mm]" dataDxfId="78"/>
    <tableColumn id="4" xr3:uid="{89CECEF3-EA46-475B-A6C6-06A1A713DB13}" name="Rozměr B3 [mm]" dataDxfId="7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82BBE2B-6D6E-4B22-A7CA-6B7F08F7A4E5}" name="Tabulka514" displayName="Tabulka514" ref="B4:D7" totalsRowShown="0" headerRowDxfId="76" dataDxfId="75">
  <autoFilter ref="B4:D7" xr:uid="{682BBE2B-6D6E-4B22-A7CA-6B7F08F7A4E5}"/>
  <tableColumns count="3">
    <tableColumn id="1" xr3:uid="{E6C8A583-B11D-48C2-9D5E-007E51754BB0}" name="Záznam" dataDxfId="74"/>
    <tableColumn id="2" xr3:uid="{1FDB2C58-8A44-4CC9-B9D7-AA1D4A295E0E}" name="Parametr" dataDxfId="73"/>
    <tableColumn id="3" xr3:uid="{5AFC45FF-3494-4BAE-9674-C24869F6B114}" name="Jednotka" dataDxfId="7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6CE027B-619C-4117-A416-DADC5270E685}" name="Tabulka815" displayName="Tabulka815" ref="B9:C12" totalsRowShown="0" headerRowDxfId="71" dataDxfId="70">
  <autoFilter ref="B9:C12" xr:uid="{F6CE027B-619C-4117-A416-DADC5270E685}"/>
  <tableColumns count="2">
    <tableColumn id="1" xr3:uid="{7A79D3D4-B7A7-4881-BE6B-EA0A0B2F3746}" name="Vzorek (měrka)" dataDxfId="69"/>
    <tableColumn id="2" xr3:uid="{E722B32A-B4E5-44F3-918D-6D0EAE8AEE3F}" name="Rozměry [mm]" dataDxfId="6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51B5CB00-AFDF-4013-A383-815796E63458}" name="Tabulka621" displayName="Tabulka621" ref="B16:D25" totalsRowShown="0" headerRowDxfId="67" dataDxfId="66">
  <autoFilter ref="B16:D25" xr:uid="{51B5CB00-AFDF-4013-A383-815796E63458}"/>
  <tableColumns count="3">
    <tableColumn id="1" xr3:uid="{61D36941-E7DB-4B7F-A9B0-A75415713819}" name="Záznam" dataDxfId="65"/>
    <tableColumn id="2" xr3:uid="{DE8B09CC-FCD0-4C90-9D8B-4EAE98A97176}" name="Parametr" dataDxfId="64"/>
    <tableColumn id="3" xr3:uid="{03EE259E-611E-4D32-B87F-4F4087D6DFC7}" name="Jednotka" dataDxfId="6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60C29B32-DF43-4366-A56E-A6D5430603AD}" name="Tabulka922" displayName="Tabulka922" ref="F16:M18" totalsRowShown="0" headerRowDxfId="62" dataDxfId="61">
  <autoFilter ref="F16:M18" xr:uid="{60C29B32-DF43-4366-A56E-A6D5430603AD}"/>
  <tableColumns count="8">
    <tableColumn id="1" xr3:uid="{AEAA85FF-6DAE-484B-A084-54E206D98C3D}" name="Vzorek" dataDxfId="60"/>
    <tableColumn id="2" xr3:uid="{7C1C1132-FA04-4B8B-90D0-5C96BA291B2B}" name="Ref. [mm]" dataDxfId="59">
      <calculatedColumnFormula>(C10)</calculatedColumnFormula>
    </tableColumn>
    <tableColumn id="3" xr3:uid="{DF7F12E1-F736-4B9E-A516-E33CC79401D4}" name="Měření 1 [mm]" dataDxfId="58"/>
    <tableColumn id="4" xr3:uid="{B21CE0EF-CF70-48C4-BD0F-2B32D39714B3}" name="Měření 2 [mm]" dataDxfId="57"/>
    <tableColumn id="5" xr3:uid="{CC7DBF30-71B0-4071-A8D2-F3974C22FAAC}" name="Měření 3 [mm]" dataDxfId="56"/>
    <tableColumn id="6" xr3:uid="{FF8B9557-6BE6-4511-A857-B6E4D290F0CA}" name="Průměr [mm]" dataDxfId="55">
      <calculatedColumnFormula>AVERAGE(Q22,R22,S22)</calculatedColumnFormula>
    </tableColumn>
    <tableColumn id="7" xr3:uid="{CD69121E-15D3-4FBA-A244-F69706364FDD}" name="σ [mm]" dataDxfId="54">
      <calculatedColumnFormula>_xlfn.STDEV.S(Q22,R22,S22)</calculatedColumnFormula>
    </tableColumn>
    <tableColumn id="8" xr3:uid="{C36F91DC-9323-44C9-8846-6666BDA22CC6}" name="Odchylka [mm]" dataDxfId="5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64C085C0-6896-4039-95D1-E72577240C9A}" name="Tabulka2224" displayName="Tabulka2224" ref="F21:H26" totalsRowShown="0" headerRowDxfId="52" dataDxfId="51">
  <autoFilter ref="F21:H26" xr:uid="{64C085C0-6896-4039-95D1-E72577240C9A}"/>
  <tableColumns count="3">
    <tableColumn id="1" xr3:uid="{F5F15F85-47E0-4F0E-86FA-6668DC8C0ADF}" name="Záznam" dataDxfId="50"/>
    <tableColumn id="2" xr3:uid="{91CF7730-9D88-44FB-B4C5-3696961BB874}" name="Soubor" dataDxfId="49"/>
    <tableColumn id="3" xr3:uid="{70F97654-6DA9-476D-8796-6F48F6862EF8}" name="Celkový čas [s]" dataDxfId="4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C07D8878-7767-416C-985B-682D33885859}" name="Tabulka222530" displayName="Tabulka222530" ref="K21:M26" totalsRowShown="0" headerRowDxfId="47" dataDxfId="46">
  <autoFilter ref="K21:M26" xr:uid="{C07D8878-7767-416C-985B-682D33885859}"/>
  <tableColumns count="3">
    <tableColumn id="1" xr3:uid="{71817DAF-C3DE-4375-812D-9C59916FC372}" name="Záznam" dataDxfId="45"/>
    <tableColumn id="2" xr3:uid="{C2C929D0-BA73-485A-915C-812E77847ABA}" name="Soubor" dataDxfId="44"/>
    <tableColumn id="3" xr3:uid="{C296A235-307A-491B-9ACB-05B2639F9184}" name="Celkový čas [s]" dataDxfId="4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F216C874-D4DD-4D38-999C-798E16B05965}" name="Tabulka6832" displayName="Tabulka6832" ref="B30:D39" totalsRowShown="0" headerRowDxfId="42" dataDxfId="41">
  <autoFilter ref="B30:D39" xr:uid="{F216C874-D4DD-4D38-999C-798E16B05965}"/>
  <tableColumns count="3">
    <tableColumn id="1" xr3:uid="{971E52ED-C148-479E-ADA8-1C42A2EDC702}" name="Záznam" dataDxfId="40"/>
    <tableColumn id="2" xr3:uid="{926560EA-DEEC-4ED2-8DB7-E68B3561C1A0}" name="Parametr" dataDxfId="39"/>
    <tableColumn id="3" xr3:uid="{381A251F-3D2E-4B6B-8201-8937F78CCFF8}" name="Jednotka" dataDxfId="38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91958DF6-C4B4-4F88-B37A-B3FEB549D331}" name="Tabulka91133" displayName="Tabulka91133" ref="F30:M32" totalsRowShown="0" headerRowDxfId="37" dataDxfId="36">
  <autoFilter ref="F30:M32" xr:uid="{91958DF6-C4B4-4F88-B37A-B3FEB549D331}"/>
  <tableColumns count="8">
    <tableColumn id="1" xr3:uid="{CA253877-1258-4903-A5B1-24E8340B7E1C}" name="Vzorek" dataDxfId="35"/>
    <tableColumn id="2" xr3:uid="{C2B1B23F-EBA7-48E1-A964-24745F146BB7}" name="Ref. [mm]" dataDxfId="34">
      <calculatedColumnFormula>(C10)</calculatedColumnFormula>
    </tableColumn>
    <tableColumn id="3" xr3:uid="{21C76B45-A661-475D-8B42-8739A686ED8D}" name="Měření 1 [mm]" dataDxfId="33">
      <calculatedColumnFormula>Q36</calculatedColumnFormula>
    </tableColumn>
    <tableColumn id="4" xr3:uid="{514C3E62-1CA2-4F11-B72F-56F6E6C6A39D}" name="Měření 2 [mm]" dataDxfId="32">
      <calculatedColumnFormula>R36</calculatedColumnFormula>
    </tableColumn>
    <tableColumn id="5" xr3:uid="{F4A585A1-1EA0-4545-B1D3-C5FA7D46A800}" name="Měření 3 [mm]" dataDxfId="31">
      <calculatedColumnFormula>S36</calculatedColumnFormula>
    </tableColumn>
    <tableColumn id="6" xr3:uid="{DD6F8368-8B3F-4ED4-B66C-20E77120F75E}" name="Průměr [mm]" dataDxfId="30">
      <calculatedColumnFormula>AVERAGE(Q36,R36,S36)</calculatedColumnFormula>
    </tableColumn>
    <tableColumn id="7" xr3:uid="{4A57F18A-445B-4F02-98C4-89F50B8F0499}" name="σ [mm]" dataDxfId="29">
      <calculatedColumnFormula>_xlfn.STDEV.S(Q36,R36,S36)</calculatedColumnFormula>
    </tableColumn>
    <tableColumn id="8" xr3:uid="{427B0499-6691-436D-8DF7-D8EAF0977D1B}" name="Odchylka [mm]" dataDxfId="28">
      <calculatedColumnFormula>(Tabulka91133[[#This Row],[Průměr '[mm']]]-30)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E46B97-9F43-420C-AE3C-F069B9F65D23}" name="Tabulka22243" displayName="Tabulka22243" ref="F35:H40" totalsRowShown="0" headerRowDxfId="27" dataDxfId="26">
  <autoFilter ref="F35:H40" xr:uid="{78E46B97-9F43-420C-AE3C-F069B9F65D23}"/>
  <tableColumns count="3">
    <tableColumn id="1" xr3:uid="{6385CD5D-0901-4AF7-B3A7-AAAD904BC653}" name="Záznam" dataDxfId="25"/>
    <tableColumn id="2" xr3:uid="{3C43C02F-2367-4261-8DA5-5BE058DA0DFE}" name="Soubor" dataDxfId="24"/>
    <tableColumn id="3" xr3:uid="{220CD934-3B1A-4785-BAB7-4966CD8ECEAB}" name="Celkový čas [s]" dataDxfId="23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FBE227-8E6A-4233-8439-841F1F847320}" name="Tabulka222434" displayName="Tabulka222434" ref="K35:M40" totalsRowShown="0" headerRowDxfId="22" dataDxfId="21">
  <autoFilter ref="K35:M40" xr:uid="{DCFBE227-8E6A-4233-8439-841F1F847320}"/>
  <tableColumns count="3">
    <tableColumn id="1" xr3:uid="{941FC061-91A1-41B6-92E2-59F466D7E54C}" name="Záznam" dataDxfId="20"/>
    <tableColumn id="2" xr3:uid="{6677AB9B-6FBD-4426-984B-8C643157C4CB}" name="Soubor" dataDxfId="19"/>
    <tableColumn id="3" xr3:uid="{5D0EC874-99EA-4329-8F67-70764ABE745E}" name="Celkový čas [s]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B750A7E-DF58-48BC-AAB2-66F5EF818A9E}" name="Tabulka5" displayName="Tabulka5" ref="P16:S24" totalsRowShown="0" headerRowDxfId="17" dataDxfId="16">
  <autoFilter ref="P16:S24" xr:uid="{7B750A7E-DF58-48BC-AAB2-66F5EF818A9E}"/>
  <tableColumns count="4">
    <tableColumn id="1" xr3:uid="{228F147F-32C2-434F-A125-F7A653EC8C3A}" name="Č. měření" dataDxfId="15"/>
    <tableColumn id="2" xr3:uid="{107BE54A-E3D6-42FF-A49E-3C4156F38B0B}" name="Měření 1" dataDxfId="14"/>
    <tableColumn id="3" xr3:uid="{47EEAE3E-CF7D-4CBB-966F-A0325CDF672B}" name="Měření 2" dataDxfId="13"/>
    <tableColumn id="4" xr3:uid="{D4421234-4B31-47C0-ADBA-780C194F6471}" name="Měření 3" dataDxfId="12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72A7E0D-4C54-44AD-B323-E0DF5D7766CD}" name="Tabulka57" displayName="Tabulka57" ref="U16:X23" totalsRowShown="0" headerRowDxfId="11" dataDxfId="10">
  <autoFilter ref="U16:X23" xr:uid="{472A7E0D-4C54-44AD-B323-E0DF5D7766CD}"/>
  <tableColumns count="4">
    <tableColumn id="1" xr3:uid="{9E1F76F8-5C2E-4EBE-9145-E0B2E48977EF}" name="Č. měření" dataDxfId="9"/>
    <tableColumn id="2" xr3:uid="{4EC529F5-49F9-4C2C-969F-FBEAA2311CAC}" name="Měření 1" dataDxfId="8"/>
    <tableColumn id="3" xr3:uid="{D139338A-CB47-4BF9-ABAE-2D6E7BCA5922}" name="Měření 2" dataDxfId="7"/>
    <tableColumn id="4" xr3:uid="{76D26C36-6C90-4730-B163-54A96EEF7123}" name="Měření 3" dataDxfId="6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9AD00CD-518C-430B-B7F2-60D7943166C0}" name="Tabulka55" displayName="Tabulka55" ref="P30:S38" totalsRowShown="0" headerRowDxfId="5" dataDxfId="4">
  <autoFilter ref="P30:S38" xr:uid="{09AD00CD-518C-430B-B7F2-60D7943166C0}"/>
  <tableColumns count="4">
    <tableColumn id="1" xr3:uid="{27A902EC-3159-4ED3-9B82-8133670926AD}" name="Č. měření" dataDxfId="3"/>
    <tableColumn id="2" xr3:uid="{B66045C8-CEFC-4CD1-8FF6-6494921C7D0A}" name="Měření 1" dataDxfId="2"/>
    <tableColumn id="3" xr3:uid="{F3C69D2A-AA2A-4171-BCEE-1C14CC237092}" name="Měření 2" dataDxfId="1"/>
    <tableColumn id="4" xr3:uid="{205923D4-E3F2-4B7A-A8FA-D483CC3DF420}" name="Měření 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6EE77-5C21-42BA-AE76-914FABE66661}">
  <dimension ref="B3:X40"/>
  <sheetViews>
    <sheetView tabSelected="1" topLeftCell="A16" workbookViewId="0">
      <selection activeCell="N39" sqref="N39"/>
    </sheetView>
  </sheetViews>
  <sheetFormatPr defaultRowHeight="18.600000000000001" customHeight="1" x14ac:dyDescent="0.25"/>
  <cols>
    <col min="2" max="2" width="18.7109375" customWidth="1"/>
    <col min="3" max="3" width="15.7109375" customWidth="1"/>
    <col min="4" max="4" width="10.7109375" customWidth="1"/>
    <col min="6" max="8" width="15.7109375" customWidth="1"/>
    <col min="9" max="9" width="15.5703125" customWidth="1"/>
    <col min="10" max="14" width="15.7109375" customWidth="1"/>
    <col min="16" max="16" width="15.5703125" customWidth="1"/>
    <col min="17" max="19" width="15.7109375" customWidth="1"/>
    <col min="21" max="24" width="15.7109375" customWidth="1"/>
  </cols>
  <sheetData>
    <row r="3" spans="2:24" ht="18.600000000000001" customHeight="1" x14ac:dyDescent="0.25">
      <c r="B3" s="8" t="s">
        <v>0</v>
      </c>
      <c r="C3" s="8"/>
      <c r="D3" s="8"/>
      <c r="F3" s="8" t="s">
        <v>1</v>
      </c>
      <c r="G3" s="10"/>
      <c r="H3" s="10"/>
      <c r="I3" s="10"/>
      <c r="K3" s="8" t="s">
        <v>2</v>
      </c>
      <c r="L3" s="10"/>
      <c r="M3" s="10"/>
      <c r="N3" s="10"/>
      <c r="P3" s="5"/>
      <c r="Q3" s="6"/>
      <c r="R3" s="6"/>
      <c r="S3" s="6"/>
    </row>
    <row r="4" spans="2:24" ht="18.600000000000001" customHeight="1" x14ac:dyDescent="0.25">
      <c r="B4" s="1" t="s">
        <v>3</v>
      </c>
      <c r="C4" s="1" t="s">
        <v>4</v>
      </c>
      <c r="D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K4" s="1" t="s">
        <v>6</v>
      </c>
      <c r="L4" s="1" t="s">
        <v>10</v>
      </c>
      <c r="M4" s="1" t="s">
        <v>11</v>
      </c>
      <c r="N4" s="1" t="s">
        <v>12</v>
      </c>
      <c r="P4" s="1"/>
      <c r="Q4" s="1"/>
      <c r="R4" s="1"/>
      <c r="S4" s="1"/>
    </row>
    <row r="5" spans="2:24" ht="18.600000000000001" customHeight="1" x14ac:dyDescent="0.25">
      <c r="B5" s="1" t="s">
        <v>13</v>
      </c>
      <c r="C5" s="7">
        <v>46142</v>
      </c>
      <c r="D5" s="1" t="s">
        <v>14</v>
      </c>
      <c r="F5" s="1">
        <v>1</v>
      </c>
      <c r="G5" s="1">
        <v>30</v>
      </c>
      <c r="H5" s="4">
        <v>8.9</v>
      </c>
      <c r="I5" s="1">
        <v>34.9</v>
      </c>
      <c r="K5" s="1">
        <v>1</v>
      </c>
      <c r="L5" s="1">
        <v>40</v>
      </c>
      <c r="M5" s="1">
        <v>8.91</v>
      </c>
      <c r="N5" s="1">
        <v>34.909999999999997</v>
      </c>
      <c r="P5" s="1"/>
      <c r="Q5" s="1"/>
      <c r="R5" s="1"/>
      <c r="S5" s="1"/>
    </row>
    <row r="6" spans="2:24" ht="18.600000000000001" customHeight="1" x14ac:dyDescent="0.25">
      <c r="B6" s="1" t="s">
        <v>15</v>
      </c>
      <c r="C6" s="1">
        <v>20</v>
      </c>
      <c r="D6" s="2" t="s">
        <v>16</v>
      </c>
      <c r="F6" s="1">
        <v>2</v>
      </c>
      <c r="G6" s="1">
        <v>30</v>
      </c>
      <c r="H6" s="1">
        <v>8.89</v>
      </c>
      <c r="I6" s="1">
        <v>34.89</v>
      </c>
      <c r="K6" s="1">
        <v>2</v>
      </c>
      <c r="L6" s="1">
        <v>40</v>
      </c>
      <c r="M6" s="1">
        <v>8.89</v>
      </c>
      <c r="N6" s="1">
        <v>34.94</v>
      </c>
      <c r="P6" s="1"/>
      <c r="Q6" s="1"/>
      <c r="R6" s="1"/>
      <c r="S6" s="1"/>
    </row>
    <row r="7" spans="2:24" ht="18.600000000000001" customHeight="1" x14ac:dyDescent="0.25">
      <c r="B7" s="1" t="s">
        <v>17</v>
      </c>
      <c r="C7" s="1" t="s">
        <v>18</v>
      </c>
      <c r="D7" s="1" t="s">
        <v>14</v>
      </c>
      <c r="F7" s="1">
        <v>3</v>
      </c>
      <c r="G7" s="1">
        <v>30</v>
      </c>
      <c r="H7" s="1">
        <v>8.89</v>
      </c>
      <c r="I7" s="1">
        <v>34.89</v>
      </c>
      <c r="K7" s="1">
        <v>3</v>
      </c>
      <c r="L7" s="1">
        <v>40</v>
      </c>
      <c r="M7" s="1">
        <v>8.91</v>
      </c>
      <c r="N7" s="1">
        <v>34.92</v>
      </c>
      <c r="P7" s="1"/>
      <c r="Q7" s="1"/>
      <c r="R7" s="1"/>
      <c r="S7" s="1"/>
    </row>
    <row r="8" spans="2:24" ht="18.600000000000001" customHeight="1" x14ac:dyDescent="0.25">
      <c r="F8" s="1">
        <v>4</v>
      </c>
      <c r="G8" s="1">
        <v>30</v>
      </c>
      <c r="H8" s="1">
        <v>8.89</v>
      </c>
      <c r="I8" s="1">
        <v>34.9</v>
      </c>
      <c r="K8" s="1">
        <v>4</v>
      </c>
      <c r="L8" s="1">
        <v>40</v>
      </c>
      <c r="M8" s="1">
        <v>8.9</v>
      </c>
      <c r="N8" s="1">
        <v>34.9</v>
      </c>
      <c r="P8" s="1"/>
      <c r="Q8" s="1"/>
      <c r="R8" s="1"/>
      <c r="S8" s="1"/>
    </row>
    <row r="9" spans="2:24" ht="18.600000000000001" customHeight="1" x14ac:dyDescent="0.25">
      <c r="B9" s="1" t="s">
        <v>19</v>
      </c>
      <c r="C9" s="1" t="s">
        <v>20</v>
      </c>
      <c r="F9" s="1">
        <v>5</v>
      </c>
      <c r="G9" s="1">
        <v>30</v>
      </c>
      <c r="H9" s="1">
        <v>8.9</v>
      </c>
      <c r="I9" s="1">
        <v>34.9</v>
      </c>
      <c r="K9" s="1">
        <v>5</v>
      </c>
      <c r="L9" s="1">
        <v>40</v>
      </c>
      <c r="M9" s="1">
        <v>8.91</v>
      </c>
      <c r="N9" s="1">
        <v>34.93</v>
      </c>
      <c r="P9" s="1"/>
      <c r="Q9" s="1"/>
      <c r="R9" s="1"/>
      <c r="S9" s="1"/>
    </row>
    <row r="10" spans="2:24" ht="18.600000000000001" customHeight="1" x14ac:dyDescent="0.25">
      <c r="B10" s="1" t="s">
        <v>21</v>
      </c>
      <c r="C10" s="1">
        <v>30</v>
      </c>
      <c r="F10" s="1" t="s">
        <v>22</v>
      </c>
      <c r="G10" s="1">
        <v>30</v>
      </c>
      <c r="H10" s="4">
        <f>AVERAGE(H5:H9)</f>
        <v>8.8940000000000001</v>
      </c>
      <c r="I10" s="1">
        <f>AVERAGE(I5:I9)</f>
        <v>34.896000000000001</v>
      </c>
      <c r="K10" s="1" t="s">
        <v>22</v>
      </c>
      <c r="L10" s="1">
        <f>AVERAGE(L5:L9)</f>
        <v>40</v>
      </c>
      <c r="M10" s="1">
        <f>AVERAGE(M5:M9)</f>
        <v>8.9039999999999999</v>
      </c>
      <c r="N10" s="1">
        <f>AVERAGE(N5:N9)</f>
        <v>34.92</v>
      </c>
      <c r="P10" s="1"/>
      <c r="Q10" s="1"/>
      <c r="R10" s="1"/>
      <c r="S10" s="1"/>
    </row>
    <row r="11" spans="2:24" ht="18.600000000000001" customHeight="1" x14ac:dyDescent="0.25">
      <c r="B11" s="1" t="s">
        <v>23</v>
      </c>
      <c r="C11" s="1">
        <v>40</v>
      </c>
      <c r="F11" s="3" t="s">
        <v>24</v>
      </c>
      <c r="G11" s="1">
        <f>_xlfn.STDEV.S(G5:G9)</f>
        <v>0</v>
      </c>
      <c r="H11" s="1">
        <f>_xlfn.STDEV.S(H5:H9)</f>
        <v>5.4772255750515442E-3</v>
      </c>
      <c r="I11" s="1">
        <f>_xlfn.STDEV.S(I5:I9)</f>
        <v>5.4772255750505719E-3</v>
      </c>
      <c r="K11" s="3" t="s">
        <v>24</v>
      </c>
      <c r="L11" s="1">
        <f>_xlfn.STDEV.S(L5:L9)</f>
        <v>0</v>
      </c>
      <c r="M11" s="1">
        <f>_xlfn.STDEV.S(M5:M9)</f>
        <v>8.9442719099989687E-3</v>
      </c>
      <c r="N11" s="1">
        <f>_xlfn.STDEV.S(N5:N9)</f>
        <v>1.5811388300842121E-2</v>
      </c>
      <c r="P11" s="3"/>
      <c r="Q11" s="1"/>
      <c r="R11" s="1"/>
      <c r="S11" s="1"/>
    </row>
    <row r="12" spans="2:24" ht="18.600000000000001" customHeight="1" x14ac:dyDescent="0.25">
      <c r="B12" s="1" t="s">
        <v>25</v>
      </c>
      <c r="C12" s="1"/>
    </row>
    <row r="15" spans="2:24" ht="18.600000000000001" customHeight="1" x14ac:dyDescent="0.25">
      <c r="B15" s="8" t="s">
        <v>26</v>
      </c>
      <c r="C15" s="8"/>
      <c r="D15" s="8"/>
      <c r="F15" s="8" t="s">
        <v>27</v>
      </c>
      <c r="G15" s="8"/>
      <c r="H15" s="8"/>
      <c r="I15" s="8"/>
      <c r="J15" s="8"/>
      <c r="K15" s="8"/>
      <c r="L15" s="8"/>
      <c r="M15" s="8"/>
      <c r="P15" s="8" t="s">
        <v>78</v>
      </c>
      <c r="Q15" s="8"/>
      <c r="R15" s="8"/>
      <c r="S15" s="8"/>
      <c r="U15" s="8" t="s">
        <v>45</v>
      </c>
      <c r="V15" s="8"/>
      <c r="W15" s="8"/>
      <c r="X15" s="8"/>
    </row>
    <row r="16" spans="2:24" ht="18.600000000000001" customHeight="1" x14ac:dyDescent="0.25">
      <c r="B16" s="1" t="s">
        <v>3</v>
      </c>
      <c r="C16" s="1" t="s">
        <v>4</v>
      </c>
      <c r="D16" s="1" t="s">
        <v>5</v>
      </c>
      <c r="F16" s="1" t="s">
        <v>28</v>
      </c>
      <c r="G16" s="1" t="s">
        <v>29</v>
      </c>
      <c r="H16" s="1" t="s">
        <v>30</v>
      </c>
      <c r="I16" s="1" t="s">
        <v>31</v>
      </c>
      <c r="J16" s="1" t="s">
        <v>32</v>
      </c>
      <c r="K16" s="1" t="s">
        <v>33</v>
      </c>
      <c r="L16" s="2" t="s">
        <v>34</v>
      </c>
      <c r="M16" s="1" t="s">
        <v>35</v>
      </c>
      <c r="P16" s="1" t="s">
        <v>6</v>
      </c>
      <c r="Q16" s="1" t="s">
        <v>50</v>
      </c>
      <c r="R16" s="1" t="s">
        <v>53</v>
      </c>
      <c r="S16" s="1" t="s">
        <v>54</v>
      </c>
      <c r="U16" s="1" t="s">
        <v>6</v>
      </c>
      <c r="V16" s="1" t="s">
        <v>50</v>
      </c>
      <c r="W16" s="1" t="s">
        <v>53</v>
      </c>
      <c r="X16" s="1" t="s">
        <v>54</v>
      </c>
    </row>
    <row r="17" spans="2:24" ht="18.600000000000001" customHeight="1" x14ac:dyDescent="0.25">
      <c r="B17" s="1" t="s">
        <v>36</v>
      </c>
      <c r="C17" s="1">
        <v>0.5</v>
      </c>
      <c r="D17" s="1" t="s">
        <v>37</v>
      </c>
      <c r="F17" s="1" t="s">
        <v>21</v>
      </c>
      <c r="G17" s="1">
        <v>30</v>
      </c>
      <c r="H17" s="1">
        <f>Q22</f>
        <v>30.10614</v>
      </c>
      <c r="I17" s="1">
        <f>R22</f>
        <v>30.143099999999997</v>
      </c>
      <c r="J17" s="1">
        <f>S22</f>
        <v>30.096700000000006</v>
      </c>
      <c r="K17" s="1">
        <f t="shared" ref="K17" si="0">AVERAGE(Q22,R22,S22)</f>
        <v>30.115313333333336</v>
      </c>
      <c r="L17" s="1">
        <f t="shared" ref="L17" si="1">_xlfn.STDEV.S(Q22,R22,S22)</f>
        <v>2.4522490357489074E-2</v>
      </c>
      <c r="M17" s="1">
        <f>(Tabulka922[[#This Row],[Průměr '[mm']]]-30)</f>
        <v>0.11531333333333649</v>
      </c>
      <c r="P17" s="1">
        <v>1</v>
      </c>
      <c r="Q17" s="1">
        <v>29.850200000000001</v>
      </c>
      <c r="R17" s="1">
        <v>29.817399999999999</v>
      </c>
      <c r="S17" s="1">
        <v>29.818300000000001</v>
      </c>
      <c r="U17" s="1">
        <v>1</v>
      </c>
      <c r="V17" s="1">
        <v>40.131100000000004</v>
      </c>
      <c r="W17" s="1">
        <v>40.122599999999998</v>
      </c>
      <c r="X17" s="1"/>
    </row>
    <row r="18" spans="2:24" ht="18.600000000000001" customHeight="1" x14ac:dyDescent="0.25">
      <c r="B18" s="1" t="s">
        <v>38</v>
      </c>
      <c r="C18" s="1" t="s">
        <v>63</v>
      </c>
      <c r="D18" s="1" t="s">
        <v>14</v>
      </c>
      <c r="F18" s="1" t="s">
        <v>23</v>
      </c>
      <c r="G18" s="1">
        <f t="shared" ref="G18" si="2">(C11)</f>
        <v>40</v>
      </c>
      <c r="H18" s="1"/>
      <c r="I18" s="1"/>
      <c r="J18" s="1"/>
      <c r="K18" s="1"/>
      <c r="L18" s="1"/>
      <c r="M18" s="1"/>
      <c r="P18" s="1">
        <v>2</v>
      </c>
      <c r="Q18" s="1">
        <v>30.347899999999999</v>
      </c>
      <c r="R18" s="1">
        <v>30.077999999999999</v>
      </c>
      <c r="S18" s="1">
        <v>29.969799999999999</v>
      </c>
      <c r="U18" s="1">
        <v>2</v>
      </c>
      <c r="V18" s="1">
        <v>40.464599999999997</v>
      </c>
      <c r="W18" s="1">
        <v>40.363799999999998</v>
      </c>
      <c r="X18" s="1"/>
    </row>
    <row r="19" spans="2:24" ht="18.600000000000001" customHeight="1" x14ac:dyDescent="0.25">
      <c r="B19" s="1" t="s">
        <v>39</v>
      </c>
      <c r="C19" s="1">
        <v>100</v>
      </c>
      <c r="D19" s="1" t="s">
        <v>40</v>
      </c>
      <c r="F19" s="1"/>
      <c r="G19" s="1"/>
      <c r="H19" s="1"/>
      <c r="I19" s="1"/>
      <c r="J19" s="1"/>
      <c r="K19" s="1"/>
      <c r="L19" s="1"/>
      <c r="M19" s="1"/>
      <c r="P19" s="1">
        <v>3</v>
      </c>
      <c r="Q19" s="1">
        <v>30.266200000000001</v>
      </c>
      <c r="R19" s="1">
        <v>30.281600000000001</v>
      </c>
      <c r="S19" s="1">
        <v>30.078600000000002</v>
      </c>
      <c r="U19" s="1">
        <v>3</v>
      </c>
      <c r="V19" s="1">
        <v>40.379199999999997</v>
      </c>
      <c r="W19" s="1">
        <v>40.430300000000003</v>
      </c>
      <c r="X19" s="1"/>
    </row>
    <row r="20" spans="2:24" ht="18.600000000000001" customHeight="1" x14ac:dyDescent="0.25">
      <c r="B20" s="1" t="s">
        <v>41</v>
      </c>
      <c r="C20" s="1">
        <v>0.15</v>
      </c>
      <c r="D20" s="1" t="s">
        <v>42</v>
      </c>
      <c r="F20" s="8" t="s">
        <v>44</v>
      </c>
      <c r="G20" s="8"/>
      <c r="H20" s="8"/>
      <c r="I20" s="1"/>
      <c r="J20" s="1"/>
      <c r="K20" s="8" t="s">
        <v>45</v>
      </c>
      <c r="L20" s="8"/>
      <c r="M20" s="8"/>
      <c r="P20" s="1">
        <v>4</v>
      </c>
      <c r="Q20" s="1">
        <v>30.071300000000001</v>
      </c>
      <c r="R20" s="1">
        <v>30.193000000000001</v>
      </c>
      <c r="S20" s="1">
        <v>30.262899999999998</v>
      </c>
      <c r="U20" s="1">
        <v>4</v>
      </c>
      <c r="V20" s="1">
        <v>40.4405</v>
      </c>
      <c r="W20" s="1">
        <v>40.4236</v>
      </c>
      <c r="X20" s="1"/>
    </row>
    <row r="21" spans="2:24" ht="18.600000000000001" customHeight="1" x14ac:dyDescent="0.25">
      <c r="B21" s="1" t="s">
        <v>43</v>
      </c>
      <c r="C21" s="1">
        <f>((360)/(C17))</f>
        <v>720</v>
      </c>
      <c r="D21" s="1" t="s">
        <v>14</v>
      </c>
      <c r="F21" s="1" t="s">
        <v>3</v>
      </c>
      <c r="G21" s="1" t="s">
        <v>47</v>
      </c>
      <c r="H21" s="1" t="s">
        <v>62</v>
      </c>
      <c r="K21" s="1" t="s">
        <v>3</v>
      </c>
      <c r="L21" s="1" t="s">
        <v>47</v>
      </c>
      <c r="M21" s="1" t="s">
        <v>62</v>
      </c>
      <c r="P21" s="1">
        <v>5</v>
      </c>
      <c r="Q21" s="1">
        <v>29.995100000000001</v>
      </c>
      <c r="R21" s="1">
        <v>30.345500000000001</v>
      </c>
      <c r="S21" s="1">
        <v>30.353899999999999</v>
      </c>
      <c r="U21" s="1">
        <v>5</v>
      </c>
      <c r="V21" s="1">
        <v>40.523499999999999</v>
      </c>
      <c r="W21" s="1">
        <v>40.476900000000001</v>
      </c>
      <c r="X21" s="1"/>
    </row>
    <row r="22" spans="2:24" ht="18.600000000000001" customHeight="1" x14ac:dyDescent="0.25">
      <c r="B22" s="1" t="s">
        <v>46</v>
      </c>
      <c r="C22" s="1"/>
      <c r="D22" s="1" t="s">
        <v>42</v>
      </c>
      <c r="F22" s="1" t="s">
        <v>50</v>
      </c>
      <c r="G22" s="1" t="s">
        <v>66</v>
      </c>
      <c r="H22" s="1">
        <v>399.1</v>
      </c>
      <c r="K22" s="1" t="s">
        <v>50</v>
      </c>
      <c r="L22" s="1" t="s">
        <v>71</v>
      </c>
      <c r="M22" s="1">
        <v>362.9</v>
      </c>
      <c r="P22" s="1" t="s">
        <v>22</v>
      </c>
      <c r="Q22" s="1">
        <f>AVERAGE(Q17:Q21)</f>
        <v>30.10614</v>
      </c>
      <c r="R22" s="1">
        <f>AVERAGE(R17:R21)</f>
        <v>30.143099999999997</v>
      </c>
      <c r="S22" s="1">
        <f>AVERAGE(S17:S21)</f>
        <v>30.096700000000006</v>
      </c>
      <c r="U22" s="1" t="s">
        <v>22</v>
      </c>
      <c r="V22" s="1">
        <f>AVERAGE(V17:V21)</f>
        <v>40.387779999999999</v>
      </c>
      <c r="W22" s="1">
        <f>AVERAGE(W17:W21)</f>
        <v>40.363440000000004</v>
      </c>
      <c r="X22" s="1"/>
    </row>
    <row r="23" spans="2:24" ht="18.600000000000001" customHeight="1" x14ac:dyDescent="0.25">
      <c r="B23" s="1" t="s">
        <v>48</v>
      </c>
      <c r="C23" s="1">
        <v>3000</v>
      </c>
      <c r="D23" s="1" t="s">
        <v>49</v>
      </c>
      <c r="F23" s="1" t="s">
        <v>53</v>
      </c>
      <c r="G23" s="1" t="s">
        <v>67</v>
      </c>
      <c r="H23" s="1">
        <v>380.7</v>
      </c>
      <c r="K23" s="1" t="s">
        <v>53</v>
      </c>
      <c r="L23" s="1" t="s">
        <v>72</v>
      </c>
      <c r="M23" s="1">
        <v>352.7</v>
      </c>
      <c r="P23" s="1" t="s">
        <v>76</v>
      </c>
      <c r="Q23" s="1">
        <v>30.045000000000002</v>
      </c>
      <c r="R23" s="1">
        <v>30.037500000000001</v>
      </c>
      <c r="S23" s="1">
        <v>30.056899999999999</v>
      </c>
      <c r="U23" s="1" t="s">
        <v>76</v>
      </c>
      <c r="V23" s="1">
        <v>40.377099999999999</v>
      </c>
      <c r="W23" s="1">
        <v>40.024799999999999</v>
      </c>
      <c r="X23" s="1">
        <v>40.2699</v>
      </c>
    </row>
    <row r="24" spans="2:24" ht="18.600000000000001" customHeight="1" x14ac:dyDescent="0.25">
      <c r="B24" s="1" t="s">
        <v>51</v>
      </c>
      <c r="C24" s="1">
        <v>1000</v>
      </c>
      <c r="D24" s="1" t="s">
        <v>52</v>
      </c>
      <c r="F24" s="1" t="s">
        <v>54</v>
      </c>
      <c r="G24" s="1" t="s">
        <v>68</v>
      </c>
      <c r="H24" s="1">
        <v>380.8</v>
      </c>
      <c r="K24" s="1" t="s">
        <v>54</v>
      </c>
      <c r="L24" s="1" t="s">
        <v>73</v>
      </c>
      <c r="M24" s="1">
        <v>362.3</v>
      </c>
      <c r="P24" s="1" t="s">
        <v>47</v>
      </c>
      <c r="Q24" s="1" t="s">
        <v>50</v>
      </c>
      <c r="R24" s="1" t="s">
        <v>54</v>
      </c>
      <c r="S24" s="1" t="s">
        <v>61</v>
      </c>
    </row>
    <row r="25" spans="2:24" ht="18.600000000000001" customHeight="1" x14ac:dyDescent="0.25">
      <c r="B25" s="1"/>
      <c r="C25" s="1"/>
      <c r="D25" s="1"/>
      <c r="F25" s="1" t="s">
        <v>60</v>
      </c>
      <c r="G25" s="1" t="s">
        <v>69</v>
      </c>
      <c r="H25" s="1">
        <v>382.8</v>
      </c>
      <c r="K25" s="1" t="s">
        <v>60</v>
      </c>
      <c r="L25" s="1" t="s">
        <v>74</v>
      </c>
      <c r="M25" s="1">
        <v>372.8</v>
      </c>
    </row>
    <row r="26" spans="2:24" ht="18.600000000000001" customHeight="1" x14ac:dyDescent="0.25">
      <c r="F26" s="1" t="s">
        <v>61</v>
      </c>
      <c r="G26" s="1" t="s">
        <v>70</v>
      </c>
      <c r="H26" s="1">
        <v>380.3</v>
      </c>
      <c r="K26" s="1" t="s">
        <v>61</v>
      </c>
      <c r="L26" s="1" t="s">
        <v>75</v>
      </c>
      <c r="M26" s="1">
        <v>360.9</v>
      </c>
    </row>
    <row r="29" spans="2:24" ht="18.600000000000001" customHeight="1" x14ac:dyDescent="0.25">
      <c r="B29" s="9" t="s">
        <v>55</v>
      </c>
      <c r="C29" s="9"/>
      <c r="D29" s="9"/>
      <c r="F29" s="8" t="s">
        <v>56</v>
      </c>
      <c r="G29" s="8"/>
      <c r="H29" s="8"/>
      <c r="I29" s="8"/>
      <c r="J29" s="8"/>
      <c r="K29" s="8"/>
      <c r="L29" s="8"/>
      <c r="M29" s="8"/>
      <c r="P29" s="8" t="s">
        <v>77</v>
      </c>
      <c r="Q29" s="8"/>
      <c r="R29" s="8"/>
      <c r="S29" s="8"/>
    </row>
    <row r="30" spans="2:24" ht="18.600000000000001" customHeight="1" x14ac:dyDescent="0.25">
      <c r="B30" s="1" t="s">
        <v>3</v>
      </c>
      <c r="C30" s="1" t="s">
        <v>4</v>
      </c>
      <c r="D30" s="1" t="s">
        <v>5</v>
      </c>
      <c r="F30" s="1" t="s">
        <v>28</v>
      </c>
      <c r="G30" s="1" t="s">
        <v>29</v>
      </c>
      <c r="H30" s="1" t="s">
        <v>30</v>
      </c>
      <c r="I30" s="1" t="s">
        <v>31</v>
      </c>
      <c r="J30" s="1" t="s">
        <v>32</v>
      </c>
      <c r="K30" s="1" t="s">
        <v>33</v>
      </c>
      <c r="L30" s="2" t="s">
        <v>34</v>
      </c>
      <c r="M30" s="1" t="s">
        <v>35</v>
      </c>
      <c r="P30" s="1" t="s">
        <v>6</v>
      </c>
      <c r="Q30" s="1" t="s">
        <v>50</v>
      </c>
      <c r="R30" s="1" t="s">
        <v>53</v>
      </c>
      <c r="S30" s="1" t="s">
        <v>54</v>
      </c>
    </row>
    <row r="31" spans="2:24" ht="18.600000000000001" customHeight="1" x14ac:dyDescent="0.25">
      <c r="B31" s="1" t="s">
        <v>64</v>
      </c>
      <c r="C31" s="1">
        <v>0.36</v>
      </c>
      <c r="D31" s="1" t="s">
        <v>65</v>
      </c>
      <c r="F31" s="1" t="s">
        <v>21</v>
      </c>
      <c r="G31" s="1">
        <f t="shared" ref="G31:G32" si="3">(C10)</f>
        <v>30</v>
      </c>
      <c r="H31" s="1">
        <f t="shared" ref="H31" si="4">Q36</f>
        <v>30.028020000000005</v>
      </c>
      <c r="I31" s="1">
        <f t="shared" ref="I31" si="5">R36</f>
        <v>30.032779999999995</v>
      </c>
      <c r="J31" s="1">
        <f t="shared" ref="J31" si="6">S36</f>
        <v>30.0627</v>
      </c>
      <c r="K31" s="1">
        <f t="shared" ref="K31" si="7">AVERAGE(Q36,R36,S36)</f>
        <v>30.041166666666669</v>
      </c>
      <c r="L31" s="1">
        <f t="shared" ref="L31" si="8">_xlfn.STDEV.S(Q36,R36,S36)</f>
        <v>1.879967375603353E-2</v>
      </c>
      <c r="M31" s="1">
        <f>(Tabulka91133[[#This Row],[Průměr '[mm']]]-30)</f>
        <v>4.1166666666669016E-2</v>
      </c>
      <c r="P31" s="1">
        <v>1</v>
      </c>
      <c r="Q31" s="1">
        <v>29.734200000000001</v>
      </c>
      <c r="R31" s="1">
        <v>29.760100000000001</v>
      </c>
      <c r="S31" s="1">
        <v>29.7575</v>
      </c>
    </row>
    <row r="32" spans="2:24" ht="18.600000000000001" customHeight="1" x14ac:dyDescent="0.25">
      <c r="B32" s="1" t="s">
        <v>38</v>
      </c>
      <c r="C32" s="1">
        <v>2048</v>
      </c>
      <c r="D32" s="1" t="s">
        <v>14</v>
      </c>
      <c r="F32" s="1" t="s">
        <v>23</v>
      </c>
      <c r="G32" s="1">
        <f t="shared" si="3"/>
        <v>40</v>
      </c>
      <c r="H32" s="1"/>
      <c r="I32" s="1"/>
      <c r="J32" s="1"/>
      <c r="K32" s="1"/>
      <c r="L32" s="1"/>
      <c r="M32" s="1"/>
      <c r="P32" s="1">
        <v>2</v>
      </c>
      <c r="Q32" s="1">
        <v>29.885300000000001</v>
      </c>
      <c r="R32" s="1">
        <v>29.897400000000001</v>
      </c>
      <c r="S32" s="1">
        <v>29.916899999999998</v>
      </c>
    </row>
    <row r="33" spans="2:19" ht="18.600000000000001" customHeight="1" x14ac:dyDescent="0.25">
      <c r="B33" s="1" t="s">
        <v>39</v>
      </c>
      <c r="C33" s="1">
        <v>500</v>
      </c>
      <c r="D33" s="1" t="s">
        <v>40</v>
      </c>
      <c r="F33" s="1"/>
      <c r="G33" s="1"/>
      <c r="H33" s="1"/>
      <c r="I33" s="1"/>
      <c r="J33" s="1"/>
      <c r="K33" s="1"/>
      <c r="L33" s="1"/>
      <c r="M33" s="1"/>
      <c r="P33" s="1">
        <v>3</v>
      </c>
      <c r="Q33" s="1">
        <v>30.026299999999999</v>
      </c>
      <c r="R33" s="1">
        <v>30.035900000000002</v>
      </c>
      <c r="S33" s="1">
        <v>30.092700000000001</v>
      </c>
    </row>
    <row r="34" spans="2:19" ht="18.600000000000001" customHeight="1" x14ac:dyDescent="0.25">
      <c r="B34" s="1" t="s">
        <v>57</v>
      </c>
      <c r="C34" s="1">
        <v>25</v>
      </c>
      <c r="D34" s="1" t="s">
        <v>58</v>
      </c>
      <c r="F34" s="8" t="s">
        <v>44</v>
      </c>
      <c r="G34" s="8"/>
      <c r="H34" s="8"/>
      <c r="I34" s="1"/>
      <c r="J34" s="1"/>
      <c r="K34" s="8" t="s">
        <v>45</v>
      </c>
      <c r="L34" s="8"/>
      <c r="M34" s="8"/>
      <c r="O34" s="1"/>
      <c r="P34" s="1">
        <v>4</v>
      </c>
      <c r="Q34" s="1">
        <v>30.1784</v>
      </c>
      <c r="R34" s="1">
        <v>30.162500000000001</v>
      </c>
      <c r="S34" s="1">
        <v>30.2056</v>
      </c>
    </row>
    <row r="35" spans="2:19" ht="18.600000000000001" customHeight="1" x14ac:dyDescent="0.25">
      <c r="B35" s="1" t="s">
        <v>43</v>
      </c>
      <c r="C35" s="1">
        <v>1000</v>
      </c>
      <c r="D35" s="1" t="s">
        <v>14</v>
      </c>
      <c r="F35" s="1" t="s">
        <v>3</v>
      </c>
      <c r="G35" s="1" t="s">
        <v>47</v>
      </c>
      <c r="H35" s="1" t="s">
        <v>62</v>
      </c>
      <c r="I35" s="8"/>
      <c r="J35" s="8"/>
      <c r="K35" s="1" t="s">
        <v>3</v>
      </c>
      <c r="L35" s="1" t="s">
        <v>47</v>
      </c>
      <c r="M35" s="1" t="s">
        <v>62</v>
      </c>
      <c r="P35" s="1">
        <v>5</v>
      </c>
      <c r="Q35" s="1">
        <v>30.315899999999999</v>
      </c>
      <c r="R35" s="1">
        <v>30.308</v>
      </c>
      <c r="S35" s="1">
        <v>30.340800000000002</v>
      </c>
    </row>
    <row r="36" spans="2:19" ht="18.600000000000001" customHeight="1" x14ac:dyDescent="0.25">
      <c r="B36" s="1" t="s">
        <v>46</v>
      </c>
      <c r="C36" s="1"/>
      <c r="D36" s="1" t="s">
        <v>42</v>
      </c>
      <c r="F36" s="1" t="s">
        <v>50</v>
      </c>
      <c r="G36" s="1" t="s">
        <v>79</v>
      </c>
      <c r="H36" s="1">
        <v>59.18</v>
      </c>
      <c r="I36" s="1"/>
      <c r="J36" s="1"/>
      <c r="K36" s="1" t="s">
        <v>50</v>
      </c>
      <c r="L36" s="1" t="s">
        <v>84</v>
      </c>
      <c r="M36" s="1">
        <v>61.19</v>
      </c>
      <c r="P36" s="1" t="s">
        <v>22</v>
      </c>
      <c r="Q36" s="1">
        <f>AVERAGE(Q31:Q35)</f>
        <v>30.028020000000005</v>
      </c>
      <c r="R36" s="1">
        <f>AVERAGE(R31:R35)</f>
        <v>30.032779999999995</v>
      </c>
      <c r="S36" s="1">
        <f>AVERAGE(S31:S35)</f>
        <v>30.0627</v>
      </c>
    </row>
    <row r="37" spans="2:19" ht="18.600000000000001" customHeight="1" x14ac:dyDescent="0.25">
      <c r="B37" s="1" t="s">
        <v>48</v>
      </c>
      <c r="C37" s="1">
        <v>3000</v>
      </c>
      <c r="D37" s="1" t="s">
        <v>49</v>
      </c>
      <c r="F37" s="1" t="s">
        <v>53</v>
      </c>
      <c r="G37" s="1" t="s">
        <v>80</v>
      </c>
      <c r="H37" s="1">
        <v>61.02</v>
      </c>
      <c r="I37" s="1"/>
      <c r="J37" s="1"/>
      <c r="K37" s="1" t="s">
        <v>53</v>
      </c>
      <c r="L37" s="1" t="s">
        <v>85</v>
      </c>
      <c r="M37" s="1">
        <v>63.49</v>
      </c>
      <c r="P37" s="1" t="s">
        <v>76</v>
      </c>
      <c r="Q37" s="1">
        <v>30.026800000000001</v>
      </c>
      <c r="R37" s="1">
        <v>30.087499999999999</v>
      </c>
      <c r="S37" s="1">
        <v>30.1004</v>
      </c>
    </row>
    <row r="38" spans="2:19" ht="18.600000000000001" customHeight="1" x14ac:dyDescent="0.25">
      <c r="B38" s="1" t="s">
        <v>51</v>
      </c>
      <c r="C38" s="1">
        <v>1000</v>
      </c>
      <c r="D38" s="1" t="s">
        <v>52</v>
      </c>
      <c r="F38" s="1" t="s">
        <v>54</v>
      </c>
      <c r="G38" s="1" t="s">
        <v>81</v>
      </c>
      <c r="H38" s="1">
        <v>60.52</v>
      </c>
      <c r="I38" s="1"/>
      <c r="J38" s="1"/>
      <c r="K38" s="1" t="s">
        <v>54</v>
      </c>
      <c r="L38" s="1" t="s">
        <v>86</v>
      </c>
      <c r="M38" s="1">
        <v>62.47</v>
      </c>
      <c r="P38" s="1" t="s">
        <v>47</v>
      </c>
      <c r="Q38" s="1" t="s">
        <v>50</v>
      </c>
      <c r="R38" s="1" t="s">
        <v>54</v>
      </c>
      <c r="S38" s="1" t="s">
        <v>61</v>
      </c>
    </row>
    <row r="39" spans="2:19" ht="18.600000000000001" customHeight="1" x14ac:dyDescent="0.25">
      <c r="B39" s="1" t="s">
        <v>59</v>
      </c>
      <c r="C39" s="1">
        <v>1</v>
      </c>
      <c r="D39" s="1" t="s">
        <v>14</v>
      </c>
      <c r="F39" s="1" t="s">
        <v>60</v>
      </c>
      <c r="G39" s="1" t="s">
        <v>82</v>
      </c>
      <c r="H39" s="1">
        <v>62.72</v>
      </c>
      <c r="I39" s="1"/>
      <c r="J39" s="1"/>
      <c r="K39" s="1" t="s">
        <v>60</v>
      </c>
      <c r="L39" s="1" t="s">
        <v>87</v>
      </c>
      <c r="M39" s="1">
        <v>61.73</v>
      </c>
    </row>
    <row r="40" spans="2:19" ht="18.600000000000001" customHeight="1" x14ac:dyDescent="0.25">
      <c r="F40" s="1" t="s">
        <v>61</v>
      </c>
      <c r="G40" s="1" t="s">
        <v>83</v>
      </c>
      <c r="H40" s="1">
        <v>60.89</v>
      </c>
      <c r="K40" s="1" t="s">
        <v>61</v>
      </c>
      <c r="L40" s="1" t="s">
        <v>88</v>
      </c>
      <c r="M40" s="1">
        <v>60.67</v>
      </c>
    </row>
  </sheetData>
  <mergeCells count="15">
    <mergeCell ref="P15:S15"/>
    <mergeCell ref="U15:X15"/>
    <mergeCell ref="I35:J35"/>
    <mergeCell ref="P29:S29"/>
    <mergeCell ref="F34:H34"/>
    <mergeCell ref="K34:M34"/>
    <mergeCell ref="B29:D29"/>
    <mergeCell ref="F29:M29"/>
    <mergeCell ref="F3:I3"/>
    <mergeCell ref="K3:N3"/>
    <mergeCell ref="B3:D3"/>
    <mergeCell ref="B15:D15"/>
    <mergeCell ref="F15:M15"/>
    <mergeCell ref="F20:H20"/>
    <mergeCell ref="K20:M20"/>
  </mergeCells>
  <phoneticPr fontId="6" type="noConversion"/>
  <pageMargins left="0.7" right="0.7" top="0.78740157499999996" bottom="0.78740157499999996" header="0.3" footer="0.3"/>
  <tableParts count="15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Měření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</dc:creator>
  <cp:keywords/>
  <dc:description/>
  <cp:lastModifiedBy>Boček Jan (257807)</cp:lastModifiedBy>
  <cp:revision/>
  <dcterms:created xsi:type="dcterms:W3CDTF">2015-06-05T18:19:34Z</dcterms:created>
  <dcterms:modified xsi:type="dcterms:W3CDTF">2026-05-02T11:13:30Z</dcterms:modified>
  <cp:category/>
  <cp:contentStatus/>
</cp:coreProperties>
</file>